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fonseca\Downloads\"/>
    </mc:Choice>
  </mc:AlternateContent>
  <xr:revisionPtr revIDLastSave="0" documentId="13_ncr:1_{76FEDF40-045E-4B26-B7E0-15BC3DDA869E}" xr6:coauthVersionLast="47" xr6:coauthVersionMax="47" xr10:uidLastSave="{00000000-0000-0000-0000-000000000000}"/>
  <bookViews>
    <workbookView xWindow="-23148" yWindow="-108" windowWidth="23256" windowHeight="12456" tabRatio="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3" l="1"/>
  <c r="F27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<sst xmlns="http://schemas.openxmlformats.org/spreadsheetml/2006/main" count="2022" uniqueCount="324">
  <si>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</si>
  <si>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</si>
  <si>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</si>
  <si>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</si>
  <si>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</si>
  <si>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</si>
  <si>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</si>
  <si>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</si>
  <si>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</si>
  <si>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</si>
  <si>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</si>
  <si>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</si>
  <si>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</si>
  <si>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</si>
  <si>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</si>
  <si>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</si>
  <si>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</si>
  <si>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</si>
  <si>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</si>
  <si>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</si>
  <si>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</si>
  <si>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</si>
  <si>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</si>
  <si>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</si>
  <si>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</si>
  <si>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</si>
  <si>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</si>
  <si>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</si>
  <si>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</si>
  <si>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</si>
  <si>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</si>
  <si>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</si>
  <si>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</si>
  <si>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</si>
  <si>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</si>
  <si>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</si>
  <si>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</si>
  <si>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</si>
  <si>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</si>
  <si>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</si>
  <si>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</si>
  <si>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</si>
  <si>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</si>
  <si>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</si>
  <si>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</si>
  <si>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</si>
  <si>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</si>
  <si>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</si>
  <si>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</si>
  <si>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</si>
  <si>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</si>
  <si>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</si>
  <si>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</si>
  <si>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</si>
  <si>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</si>
  <si>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</si>
  <si>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</si>
  <si>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</si>
  <si>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</si>
  <si>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</si>
  <si>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</si>
  <si>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</si>
  <si>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</si>
  <si>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</si>
  <si>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</si>
  <si>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</si>
  <si>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</si>
  <si>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</si>
  <si>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</si>
  <si>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</si>
  <si>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</si>
  <si>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</si>
  <si>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</si>
  <si>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</si>
  <si>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</si>
  <si>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</si>
  <si>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</si>
  <si>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</si>
  <si>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</si>
  <si>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</si>
  <si>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</si>
  <si>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</si>
  <si>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</si>
  <si>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</si>
  <si>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</si>
  <si>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</si>
  <si>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</si>
  <si>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</si>
  <si>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</si>
  <si>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</si>
  <si>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</si>
  <si>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</si>
  <si>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</si>
  <si>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</si>
  <si>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</si>
  <si>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</si>
  <si>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</si>
  <si>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</si>
  <si>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</si>
  <si>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</si>
  <si>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</si>
  <si>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</si>
  <si>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</si>
  <si>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</si>
  <si>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</si>
  <si>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</si>
  <si>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</si>
  <si>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</si>
  <si>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</si>
  <si>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</si>
  <si>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</si>
  <si>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</si>
  <si>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</si>
  <si>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</si>
  <si>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</si>
  <si>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</si>
  <si>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</si>
  <si>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</si>
  <si>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</si>
  <si>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</si>
  <si>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</si>
  <si>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</si>
  <si>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</si>
  <si>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</si>
  <si>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</si>
  <si>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</si>
  <si>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</si>
  <si>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</si>
  <si>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</si>
  <si>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</si>
  <si>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</si>
  <si>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</si>
  <si>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</si>
  <si>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</si>
  <si>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</si>
  <si>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</si>
  <si>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</si>
  <si>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</si>
  <si>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</si>
  <si>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</si>
  <si>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</si>
  <si>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</si>
  <si>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</si>
  <si>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</si>
  <si>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</si>
  <si>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</si>
  <si>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</si>
  <si>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</si>
  <si>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</si>
  <si>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</si>
  <si>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</si>
  <si>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</si>
  <si>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</si>
  <si>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</si>
  <si>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</si>
  <si>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</si>
  <si>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</si>
  <si>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</si>
  <si>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</si>
  <si>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</si>
  <si>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</si>
  <si>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</si>
  <si>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</si>
  <si>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</si>
  <si>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</si>
  <si>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</si>
  <si>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</si>
  <si>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</si>
  <si>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</si>
  <si>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</si>
  <si>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</si>
  <si>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</si>
  <si>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</si>
  <si>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</si>
  <si>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</si>
  <si>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</si>
  <si>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</si>
  <si>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</si>
  <si>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</si>
  <si>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</si>
  <si>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</si>
  <si>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</si>
  <si>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</si>
  <si>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</si>
  <si>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</si>
  <si>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</si>
  <si>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</si>
  <si>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</si>
  <si>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</si>
  <si>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</si>
  <si>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</si>
  <si>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</si>
  <si>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</si>
  <si>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</si>
  <si>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</si>
  <si>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</si>
  <si>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</si>
  <si>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</si>
  <si>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</si>
  <si>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</si>
  <si>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</si>
  <si>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</si>
  <si>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</si>
  <si>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</si>
  <si>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</si>
  <si>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</si>
  <si>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</si>
  <si>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</si>
  <si>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</si>
  <si>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</si>
  <si>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</si>
  <si>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</si>
  <si>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</si>
  <si>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</si>
  <si>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</si>
  <si>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</si>
  <si>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</si>
  <si>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</si>
  <si>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</si>
  <si>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</si>
  <si>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</si>
  <si>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</si>
  <si>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</si>
  <si>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</si>
  <si>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</si>
  <si>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</si>
  <si>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</si>
  <si>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</si>
  <si>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</si>
  <si>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</si>
  <si>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</si>
  <si>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</si>
  <si>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</si>
  <si>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</si>
  <si>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</si>
  <si>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</si>
  <si>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</si>
  <si>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</si>
  <si>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</si>
  <si>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</si>
  <si>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</si>
  <si>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</si>
  <si>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</si>
  <si>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</si>
  <si>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</si>
  <si>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</si>
  <si>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</si>
  <si>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</si>
  <si>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</si>
  <si>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</si>
  <si>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</si>
  <si>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</si>
  <si>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</si>
  <si>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</si>
  <si>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</si>
  <si>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</si>
  <si>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</si>
  <si>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</si>
  <si>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</si>
  <si>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</si>
  <si>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</si>
  <si>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</si>
  <si>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</si>
  <si>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</si>
  <si>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</si>
  <si>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</si>
  <si>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</si>
  <si>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</si>
  <si>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</si>
  <si>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</si>
  <si>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</si>
  <si>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</si>
  <si>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</si>
  <si>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</si>
  <si>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</si>
  <si>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</si>
  <si>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</si>
  <si>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</si>
  <si>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</si>
  <si>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</si>
  <si>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</si>
  <si>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</si>
  <si>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</si>
  <si>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</si>
  <si>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</si>
  <si>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</si>
  <si>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</si>
  <si>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</si>
  <si>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</si>
  <si>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</si>
  <si>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</si>
  <si>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</si>
  <si>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</si>
  <si>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</si>
  <si>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</si>
  <si>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</si>
  <si>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</si>
  <si>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</si>
  <si>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</si>
  <si>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</si>
  <si>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</si>
  <si>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</si>
  <si>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</si>
  <si>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</si>
  <si>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</si>
  <si>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</si>
  <si>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</si>
  <si>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</si>
  <si>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</si>
  <si>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</si>
  <si>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</si>
  <si>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</si>
  <si>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</si>
  <si>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</si>
  <si>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</si>
  <si>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Rótulos de Linha</t>
  </si>
  <si>
    <t>Total Geral</t>
  </si>
  <si>
    <t>Soma de Total Value</t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</si>
  <si>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ou não é por auto renovação</t>
    </r>
  </si>
  <si>
    <t>XBOX GAME PASS SUBSCRIPTIONS SALES</t>
  </si>
  <si>
    <t>Pergunta de negócio 3 - Total de vendas de assinaturas da EA Play</t>
  </si>
  <si>
    <t>Soma de EA Play Season Pass</t>
  </si>
  <si>
    <t>Pergunta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</si>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</sst>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0" borderId="2" xfId="1" applyFont="1" applyBorder="1"/>
    <xf numFmtId="0" fontId="0" fillId="0" borderId="0" xfId="0" applyNumberFormat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8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sz val="12"/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F269E282-7243-4328-BCF5-6652214703F4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766008550541381E-2"/>
          <c:y val="6.564238506955733E-2"/>
          <c:w val="0.92292417824919992"/>
          <c:h val="0.883431888987154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C̳álculos!$C$14:$C$16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C̳álculos!$D$14:$D$16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4-4230-812D-2EF0E2813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0783616"/>
        <c:axId val="1079728080"/>
      </c:barChart>
      <c:catAx>
        <c:axId val="930783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9728080"/>
        <c:crosses val="autoZero"/>
        <c:auto val="1"/>
        <c:lblAlgn val="ctr"/>
        <c:lblOffset val="100"/>
        <c:noMultiLvlLbl val="0"/>
      </c:catAx>
      <c:valAx>
        <c:axId val="107972808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3078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9180" y="5410199"/>
          <a:ext cx="1551381" cy="75438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83590</xdr:colOff>
      <xdr:row>1</xdr:row>
      <xdr:rowOff>533400</xdr:rowOff>
    </xdr:from>
    <xdr:to>
      <xdr:col>2</xdr:col>
      <xdr:colOff>506730</xdr:colOff>
      <xdr:row>2</xdr:row>
      <xdr:rowOff>192405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D240AF-AAC9-4164-A027-B72022F753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29" t="22233" r="73269" b="22518"/>
        <a:stretch>
          <a:fillRect/>
        </a:stretch>
      </xdr:blipFill>
      <xdr:spPr>
        <a:xfrm>
          <a:off x="1921915" y="723900"/>
          <a:ext cx="661265" cy="716280"/>
        </a:xfrm>
        <a:prstGeom prst="rect">
          <a:avLst/>
        </a:prstGeom>
      </xdr:spPr>
    </xdr:pic>
    <xdr:clientData/>
  </xdr:twoCellAnchor>
  <xdr:twoCellAnchor editAs="absolute">
    <xdr:from>
      <xdr:col>0</xdr:col>
      <xdr:colOff>34291</xdr:colOff>
      <xdr:row>4</xdr:row>
      <xdr:rowOff>78105</xdr:rowOff>
    </xdr:from>
    <xdr:to>
      <xdr:col>0</xdr:col>
      <xdr:colOff>1828801</xdr:colOff>
      <xdr:row>17</xdr:row>
      <xdr:rowOff>156210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FAD9FB50-2B1E-472A-AD8D-672B0811A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91" y="1781399"/>
              <a:ext cx="1794510" cy="25523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222885</xdr:colOff>
      <xdr:row>7</xdr:row>
      <xdr:rowOff>81915</xdr:rowOff>
    </xdr:from>
    <xdr:to>
      <xdr:col>9</xdr:col>
      <xdr:colOff>453390</xdr:colOff>
      <xdr:row>15</xdr:row>
      <xdr:rowOff>80010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6A127E84-1C0D-6484-2BAD-8AC471218837}"/>
            </a:ext>
          </a:extLst>
        </xdr:cNvPr>
        <xdr:cNvGrpSpPr/>
      </xdr:nvGrpSpPr>
      <xdr:grpSpPr>
        <a:xfrm>
          <a:off x="2062555" y="2141892"/>
          <a:ext cx="4728882" cy="1739153"/>
          <a:chOff x="2025015" y="2137410"/>
          <a:chExt cx="4737735" cy="1744980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08C3039E-AC5C-DE41-660B-E72BB4436781}"/>
              </a:ext>
            </a:extLst>
          </xdr:cNvPr>
          <xdr:cNvSpPr/>
        </xdr:nvSpPr>
        <xdr:spPr>
          <a:xfrm>
            <a:off x="2028825" y="2137410"/>
            <a:ext cx="4728210" cy="1695450"/>
          </a:xfrm>
          <a:prstGeom prst="roundRect">
            <a:avLst>
              <a:gd name="adj" fmla="val 464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7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C4CF736D-9D56-4C0A-84BC-7B93CC39A26B}"/>
              </a:ext>
            </a:extLst>
          </xdr:cNvPr>
          <xdr:cNvSpPr/>
        </xdr:nvSpPr>
        <xdr:spPr>
          <a:xfrm>
            <a:off x="3604260" y="2749868"/>
            <a:ext cx="3040380" cy="1047750"/>
          </a:xfrm>
          <a:prstGeom prst="roundRect">
            <a:avLst>
              <a:gd name="adj" fmla="val 4648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A80CDC1-CCA4-434D-B2C5-B51B2D70DC94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4000">
              <a:solidFill>
                <a:srgbClr val="22C55E"/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49A33BB3-96F4-425D-A9BF-094D6D23FC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56460" y="2663190"/>
            <a:ext cx="1219200" cy="1219200"/>
          </a:xfrm>
          <a:prstGeom prst="rect">
            <a:avLst/>
          </a:prstGeom>
        </xdr:spPr>
      </xdr:pic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D673E68E-6B06-349D-E08B-1920D980B407}"/>
              </a:ext>
            </a:extLst>
          </xdr:cNvPr>
          <xdr:cNvSpPr/>
        </xdr:nvSpPr>
        <xdr:spPr>
          <a:xfrm>
            <a:off x="2025015" y="2137410"/>
            <a:ext cx="4737735" cy="44386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295275</xdr:colOff>
      <xdr:row>7</xdr:row>
      <xdr:rowOff>83820</xdr:rowOff>
    </xdr:from>
    <xdr:to>
      <xdr:col>18</xdr:col>
      <xdr:colOff>310515</xdr:colOff>
      <xdr:row>15</xdr:row>
      <xdr:rowOff>13389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9803BB72-A2E9-1E07-8EA2-A2BF4FDCA557}"/>
            </a:ext>
          </a:extLst>
        </xdr:cNvPr>
        <xdr:cNvGrpSpPr/>
      </xdr:nvGrpSpPr>
      <xdr:grpSpPr>
        <a:xfrm>
          <a:off x="7244827" y="2143797"/>
          <a:ext cx="4717901" cy="1668722"/>
          <a:chOff x="7244715" y="2156460"/>
          <a:chExt cx="4728210" cy="1687884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C5392737-198A-1367-8C4C-F0937843A601}"/>
              </a:ext>
            </a:extLst>
          </xdr:cNvPr>
          <xdr:cNvSpPr/>
        </xdr:nvSpPr>
        <xdr:spPr>
          <a:xfrm>
            <a:off x="7248522" y="2160270"/>
            <a:ext cx="4718693" cy="1684074"/>
          </a:xfrm>
          <a:prstGeom prst="roundRect">
            <a:avLst>
              <a:gd name="adj" fmla="val 464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9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9CBDC210-F9E6-675F-186B-A7A835925CC9}"/>
              </a:ext>
            </a:extLst>
          </xdr:cNvPr>
          <xdr:cNvSpPr/>
        </xdr:nvSpPr>
        <xdr:spPr>
          <a:xfrm>
            <a:off x="8828405" y="2771900"/>
            <a:ext cx="3024600" cy="1033549"/>
          </a:xfrm>
          <a:prstGeom prst="roundRect">
            <a:avLst>
              <a:gd name="adj" fmla="val 4648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5A4AD11-6A83-4203-B585-0C6DC1DF7716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t> R$ 1.140,00 </a:t>
            </a:fld>
            <a:endParaRPr lang="pt-BR" sz="4000">
              <a:solidFill>
                <a:srgbClr val="22C55E"/>
              </a:solidFill>
            </a:endParaRPr>
          </a:p>
        </xdr:txBody>
      </xdr: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F0920791-C15F-6300-373E-7871167F0681}"/>
              </a:ext>
            </a:extLst>
          </xdr:cNvPr>
          <xdr:cNvSpPr/>
        </xdr:nvSpPr>
        <xdr:spPr>
          <a:xfrm>
            <a:off x="7244715" y="2156460"/>
            <a:ext cx="4728210" cy="43807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MINECRAFT SEASON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77D02C46-D390-4731-B167-C695B3069D31}"/>
              </a:ext>
            </a:extLst>
          </xdr:cNvPr>
          <xdr:cNvGrpSpPr/>
        </xdr:nvGrpSpPr>
        <xdr:grpSpPr>
          <a:xfrm>
            <a:off x="7378066" y="2903864"/>
            <a:ext cx="1457325" cy="758191"/>
            <a:chOff x="3499112" y="5401392"/>
            <a:chExt cx="1543327" cy="750351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27E4BA9B-BEB9-5514-B9BC-14D098F37E6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3064" y="5401392"/>
              <a:ext cx="558440" cy="60594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C20D5AEA-044F-017A-8B8A-E3FB2FECCEF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9112" y="5895011"/>
              <a:ext cx="1543327" cy="256732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30479</xdr:colOff>
      <xdr:row>18</xdr:row>
      <xdr:rowOff>110488</xdr:rowOff>
    </xdr:from>
    <xdr:to>
      <xdr:col>18</xdr:col>
      <xdr:colOff>285750</xdr:colOff>
      <xdr:row>35</xdr:row>
      <xdr:rowOff>68579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559C0A86-8477-C984-0EB0-4F0B3231D6B8}"/>
            </a:ext>
          </a:extLst>
        </xdr:cNvPr>
        <xdr:cNvGrpSpPr/>
      </xdr:nvGrpSpPr>
      <xdr:grpSpPr>
        <a:xfrm>
          <a:off x="2103231" y="4476300"/>
          <a:ext cx="9840447" cy="3160396"/>
          <a:chOff x="2105024" y="4491988"/>
          <a:chExt cx="10018395" cy="3194686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163222E1-453B-BC11-4F9A-20C21828E8D5}"/>
              </a:ext>
            </a:extLst>
          </xdr:cNvPr>
          <xdr:cNvGrpSpPr/>
        </xdr:nvGrpSpPr>
        <xdr:grpSpPr>
          <a:xfrm>
            <a:off x="2118360" y="4491988"/>
            <a:ext cx="9987915" cy="3196591"/>
            <a:chOff x="2146120" y="2099308"/>
            <a:chExt cx="5295900" cy="3181351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DB12574B-9FC8-0B76-117C-47900957F472}"/>
                </a:ext>
              </a:extLst>
            </xdr:cNvPr>
            <xdr:cNvSpPr/>
          </xdr:nvSpPr>
          <xdr:spPr>
            <a:xfrm>
              <a:off x="2146120" y="2099308"/>
              <a:ext cx="5295900" cy="3181351"/>
            </a:xfrm>
            <a:prstGeom prst="roundRect">
              <a:avLst>
                <a:gd name="adj" fmla="val 530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02D235F6-82FF-43F4-8E39-F636D70C9459}"/>
                </a:ext>
              </a:extLst>
            </xdr:cNvPr>
            <xdr:cNvGraphicFramePr>
              <a:graphicFrameLocks/>
            </xdr:cNvGraphicFramePr>
          </xdr:nvGraphicFramePr>
          <xdr:xfrm>
            <a:off x="2308930" y="2596633"/>
            <a:ext cx="5021482" cy="262497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93D94BA9-943C-42A4-B647-A3E51E3F0C2C}"/>
              </a:ext>
            </a:extLst>
          </xdr:cNvPr>
          <xdr:cNvSpPr/>
        </xdr:nvSpPr>
        <xdr:spPr>
          <a:xfrm>
            <a:off x="2105024" y="4491988"/>
            <a:ext cx="10018395" cy="45674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371474</xdr:colOff>
      <xdr:row>0</xdr:row>
      <xdr:rowOff>114300</xdr:rowOff>
    </xdr:from>
    <xdr:to>
      <xdr:col>0</xdr:col>
      <xdr:colOff>1303019</xdr:colOff>
      <xdr:row>1</xdr:row>
      <xdr:rowOff>796290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A9256BD7-9C8E-467E-AAB4-8FCC6970ACCA}"/>
            </a:ext>
          </a:extLst>
        </xdr:cNvPr>
        <xdr:cNvSpPr/>
      </xdr:nvSpPr>
      <xdr:spPr>
        <a:xfrm>
          <a:off x="371474" y="114300"/>
          <a:ext cx="931545" cy="87249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1</xdr:row>
      <xdr:rowOff>882015</xdr:rowOff>
    </xdr:from>
    <xdr:to>
      <xdr:col>0</xdr:col>
      <xdr:colOff>1786890</xdr:colOff>
      <xdr:row>2</xdr:row>
      <xdr:rowOff>123825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FBF68721-E3AA-F2F8-6096-BF9277FB9101}"/>
            </a:ext>
          </a:extLst>
        </xdr:cNvPr>
        <xdr:cNvSpPr/>
      </xdr:nvSpPr>
      <xdr:spPr>
        <a:xfrm>
          <a:off x="0" y="1072515"/>
          <a:ext cx="1786890" cy="29908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/>
            <a:t>&gt; Bem</a:t>
          </a:r>
          <a:r>
            <a:rPr lang="pt-BR" sz="1200" b="1" baseline="0"/>
            <a:t> vinda ,Liana</a:t>
          </a:r>
          <a:endParaRPr lang="pt-BR" sz="1200" b="1"/>
        </a:p>
      </xdr:txBody>
    </xdr:sp>
    <xdr:clientData/>
  </xdr:twoCellAnchor>
  <xdr:twoCellAnchor editAs="absolute">
    <xdr:from>
      <xdr:col>1</xdr:col>
      <xdr:colOff>0</xdr:colOff>
      <xdr:row>2</xdr:row>
      <xdr:rowOff>300991</xdr:rowOff>
    </xdr:from>
    <xdr:to>
      <xdr:col>10</xdr:col>
      <xdr:colOff>0</xdr:colOff>
      <xdr:row>5</xdr:row>
      <xdr:rowOff>1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DD56C505-5856-4A2A-B203-E3FF4661559E}"/>
            </a:ext>
          </a:extLst>
        </xdr:cNvPr>
        <xdr:cNvSpPr/>
      </xdr:nvSpPr>
      <xdr:spPr>
        <a:xfrm>
          <a:off x="1836420" y="1550671"/>
          <a:ext cx="5113020" cy="25527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 b="0">
              <a:solidFill>
                <a:schemeClr val="bg2">
                  <a:lumMod val="50000"/>
                </a:schemeClr>
              </a:solidFill>
              <a:latin typeface="+mj-lt"/>
              <a:cs typeface="Segoe UI" panose="020B0502040204020203" pitchFamily="34" charset="0"/>
            </a:rPr>
            <a:t>Calculation period</a:t>
          </a:r>
          <a:r>
            <a:rPr lang="pt-BR" sz="1000" b="0" baseline="0">
              <a:solidFill>
                <a:schemeClr val="bg2">
                  <a:lumMod val="50000"/>
                </a:schemeClr>
              </a:solidFill>
              <a:latin typeface="+mj-lt"/>
              <a:cs typeface="Segoe UI" panose="020B0502040204020203" pitchFamily="34" charset="0"/>
            </a:rPr>
            <a:t>: 01/01/2024 - 31/12/2024 | Update date: 23/02/2024: 14:00:00</a:t>
          </a:r>
          <a:endParaRPr lang="pt-BR" sz="1000" b="0">
            <a:solidFill>
              <a:schemeClr val="bg2">
                <a:lumMod val="50000"/>
              </a:schemeClr>
            </a:solidFill>
            <a:latin typeface="+mj-lt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Rodrigues Fonseca" refreshedDate="46074.443866898146" createdVersion="8" refreshedVersion="8" minRefreshableVersion="3" recordCount="295" xr:uid="{61EFC668-D476-45DE-8F74-3E5845340A7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243376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9557C-0453-4855-BC90-49F98FBEF221}" name="Tabela dinâ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35:D3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EE7E5-F321-48B2-9812-5E9F16613082}" name="tbl_eaesea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23:D2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9E5A0-72A9-4F7A-A8A0-86A980E0226F}" name="tbl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13:D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789B627-8D01-4A0D-88D5-6E7F5B3FA3C9}" sourceName="Subscription Type">
  <pivotTables>
    <pivotTable tabId="3" name="tbl_annual_total"/>
    <pivotTable tabId="3" name="tbl_eaeseasonpass_total"/>
    <pivotTable tabId="3" name="Tabela dinâmica4"/>
  </pivotTables>
  <data>
    <tabular pivotCacheId="152433767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59255E6-21FB-4659-B030-CCC0D99ED71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7" sqref="B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4:F39"/>
  <sheetViews>
    <sheetView showGridLines="0" topLeftCell="A18" workbookViewId="0">
      <selection activeCell="B7" sqref="B7"/>
    </sheetView>
  </sheetViews>
  <sheetFormatPr defaultRowHeight="15" x14ac:dyDescent="0.25"/>
  <cols>
    <col min="3" max="3" width="18.42578125" bestFit="1" customWidth="1"/>
    <col min="4" max="4" width="35.140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4" spans="3:4" ht="18.75" x14ac:dyDescent="0.3">
      <c r="C4" s="12" t="s">
        <v>313</v>
      </c>
    </row>
    <row r="7" spans="3:4" x14ac:dyDescent="0.25">
      <c r="C7" t="s">
        <v>314</v>
      </c>
    </row>
    <row r="8" spans="3:4" x14ac:dyDescent="0.25">
      <c r="C8" t="s">
        <v>318</v>
      </c>
    </row>
    <row r="11" spans="3:4" x14ac:dyDescent="0.25">
      <c r="C11" s="13" t="s">
        <v>16</v>
      </c>
      <c r="D11" t="s">
        <v>27</v>
      </c>
    </row>
    <row r="13" spans="3:4" x14ac:dyDescent="0.25">
      <c r="C13" s="13" t="s">
        <v>315</v>
      </c>
      <c r="D13" t="s">
        <v>317</v>
      </c>
    </row>
    <row r="14" spans="3:4" x14ac:dyDescent="0.25">
      <c r="C14" s="14" t="s">
        <v>23</v>
      </c>
      <c r="D14" s="15">
        <v>806</v>
      </c>
    </row>
    <row r="15" spans="3:4" x14ac:dyDescent="0.25">
      <c r="C15" s="14" t="s">
        <v>19</v>
      </c>
      <c r="D15" s="15">
        <v>1502</v>
      </c>
    </row>
    <row r="16" spans="3:4" x14ac:dyDescent="0.25">
      <c r="C16" s="14" t="s">
        <v>316</v>
      </c>
      <c r="D16" s="15">
        <v>2308</v>
      </c>
    </row>
    <row r="19" spans="3:6" x14ac:dyDescent="0.25">
      <c r="C19" s="14" t="s">
        <v>320</v>
      </c>
    </row>
    <row r="21" spans="3:6" x14ac:dyDescent="0.25">
      <c r="C21" s="13" t="s">
        <v>16</v>
      </c>
      <c r="D21" t="s">
        <v>27</v>
      </c>
    </row>
    <row r="23" spans="3:6" x14ac:dyDescent="0.25">
      <c r="C23" s="13" t="s">
        <v>315</v>
      </c>
      <c r="D23" t="s">
        <v>321</v>
      </c>
    </row>
    <row r="24" spans="3:6" x14ac:dyDescent="0.25">
      <c r="C24" s="14" t="s">
        <v>22</v>
      </c>
      <c r="D24" s="17">
        <v>0</v>
      </c>
    </row>
    <row r="25" spans="3:6" x14ac:dyDescent="0.25">
      <c r="C25" s="14" t="s">
        <v>26</v>
      </c>
      <c r="D25" s="17">
        <v>0</v>
      </c>
    </row>
    <row r="26" spans="3:6" x14ac:dyDescent="0.25">
      <c r="C26" s="14" t="s">
        <v>18</v>
      </c>
      <c r="D26" s="17">
        <v>990</v>
      </c>
    </row>
    <row r="27" spans="3:6" x14ac:dyDescent="0.25">
      <c r="C27" s="14" t="s">
        <v>316</v>
      </c>
      <c r="D27" s="17">
        <v>990</v>
      </c>
      <c r="F27" s="18">
        <f>GETPIVOTDATA("EA Play Season Pass
Price",$C$23)</f>
        <v>990</v>
      </c>
    </row>
    <row r="30" spans="3:6" x14ac:dyDescent="0.25">
      <c r="C30" s="14" t="s">
        <v>322</v>
      </c>
    </row>
    <row r="33" spans="3:6" x14ac:dyDescent="0.25">
      <c r="C33" s="13" t="s">
        <v>16</v>
      </c>
      <c r="D33" t="s">
        <v>27</v>
      </c>
    </row>
    <row r="35" spans="3:6" x14ac:dyDescent="0.25">
      <c r="C35" s="13" t="s">
        <v>315</v>
      </c>
      <c r="D35" t="s">
        <v>323</v>
      </c>
    </row>
    <row r="36" spans="3:6" x14ac:dyDescent="0.25">
      <c r="C36" s="14" t="s">
        <v>22</v>
      </c>
      <c r="D36" s="15">
        <v>0</v>
      </c>
    </row>
    <row r="37" spans="3:6" x14ac:dyDescent="0.25">
      <c r="C37" s="14" t="s">
        <v>26</v>
      </c>
      <c r="D37" s="15">
        <v>480</v>
      </c>
    </row>
    <row r="38" spans="3:6" x14ac:dyDescent="0.25">
      <c r="C38" s="14" t="s">
        <v>18</v>
      </c>
      <c r="D38" s="15">
        <v>660</v>
      </c>
    </row>
    <row r="39" spans="3:6" x14ac:dyDescent="0.25">
      <c r="C39" s="14" t="s">
        <v>316</v>
      </c>
      <c r="D39" s="15">
        <v>1140</v>
      </c>
      <c r="F39" s="18">
        <f>GETPIVOTDATA("Minecraft Season Pass Price",$C$35)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T310"/>
  <sheetViews>
    <sheetView showGridLines="0" showRowColHeaders="0" tabSelected="1" zoomScale="85" zoomScaleNormal="85" workbookViewId="0">
      <selection activeCell="W13" sqref="W13"/>
    </sheetView>
  </sheetViews>
  <sheetFormatPr defaultRowHeight="15" x14ac:dyDescent="0.25"/>
  <cols>
    <col min="1" max="1" width="27.5703125" style="4" customWidth="1"/>
    <col min="2" max="2" width="3.5703125" customWidth="1"/>
    <col min="12" max="12" width="6.5703125" customWidth="1"/>
  </cols>
  <sheetData>
    <row r="2" spans="1:20" ht="83.25" customHeight="1" thickBot="1" x14ac:dyDescent="0.5">
      <c r="C2" s="20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9"/>
      <c r="S2" s="19"/>
      <c r="T2" s="19"/>
    </row>
    <row r="3" spans="1:20" ht="27.75" customHeight="1" thickTop="1" x14ac:dyDescent="0.25"/>
    <row r="4" spans="1:20" s="7" customFormat="1" ht="8.25" customHeight="1" x14ac:dyDescent="0.25">
      <c r="A4" s="4"/>
    </row>
    <row r="5" spans="1:20" s="7" customFormat="1" ht="7.5" customHeight="1" x14ac:dyDescent="0.25">
      <c r="A5" s="4"/>
    </row>
    <row r="6" spans="1:20" s="7" customFormat="1" ht="10.5" customHeight="1" x14ac:dyDescent="0.25">
      <c r="A6" s="4"/>
    </row>
    <row r="7" spans="1:20" s="7" customFormat="1" ht="9.75" customHeight="1" x14ac:dyDescent="0.25">
      <c r="A7" s="4"/>
    </row>
    <row r="8" spans="1:20" s="7" customFormat="1" ht="33" customHeight="1" x14ac:dyDescent="0.25">
      <c r="A8" s="4"/>
    </row>
    <row r="9" spans="1:20" s="7" customFormat="1" x14ac:dyDescent="0.25">
      <c r="A9" s="4"/>
    </row>
    <row r="10" spans="1:20" s="7" customFormat="1" x14ac:dyDescent="0.25">
      <c r="A10" s="4"/>
    </row>
    <row r="11" spans="1:20" s="7" customFormat="1" x14ac:dyDescent="0.25">
      <c r="A11" s="4"/>
    </row>
    <row r="12" spans="1:20" s="7" customFormat="1" x14ac:dyDescent="0.25">
      <c r="A12" s="4"/>
    </row>
    <row r="13" spans="1:20" s="7" customFormat="1" x14ac:dyDescent="0.25">
      <c r="A13" s="4"/>
    </row>
    <row r="14" spans="1:20" s="7" customFormat="1" x14ac:dyDescent="0.25">
      <c r="A14" s="4"/>
    </row>
    <row r="15" spans="1:20" s="7" customFormat="1" x14ac:dyDescent="0.25">
      <c r="A15" s="4"/>
    </row>
    <row r="16" spans="1:20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BRUNO RODRIGUES FONSECA</cp:lastModifiedBy>
  <dcterms:created xsi:type="dcterms:W3CDTF">2024-12-19T13:13:10Z</dcterms:created>
  <dcterms:modified xsi:type="dcterms:W3CDTF">2026-02-23T17:37:02Z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